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ragon\www\CUENTAST\Templates\"/>
    </mc:Choice>
  </mc:AlternateContent>
  <xr:revisionPtr revIDLastSave="0" documentId="13_ncr:1_{9D34D556-4078-420C-A2FC-83F1137F9D88}" xr6:coauthVersionLast="47" xr6:coauthVersionMax="47" xr10:uidLastSave="{00000000-0000-0000-0000-000000000000}"/>
  <bookViews>
    <workbookView xWindow="28680" yWindow="-1290" windowWidth="29040" windowHeight="15720" xr2:uid="{00000000-000D-0000-FFFF-FFFF00000000}"/>
  </bookViews>
  <sheets>
    <sheet name="Ctas_T_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1" l="1"/>
  <c r="C16" i="1"/>
  <c r="H8" i="1"/>
  <c r="C45" i="1"/>
  <c r="C35" i="1"/>
  <c r="C34" i="1" s="1"/>
  <c r="C30" i="1"/>
  <c r="G8" i="1"/>
  <c r="C48" i="1" l="1"/>
  <c r="D30" i="1"/>
  <c r="G18" i="1"/>
  <c r="C18" i="1"/>
  <c r="D31" i="1" l="1"/>
  <c r="D32" i="1"/>
  <c r="D34" i="1"/>
  <c r="D35" i="1"/>
  <c r="D36" i="1"/>
  <c r="D37" i="1"/>
  <c r="D38" i="1"/>
  <c r="D39" i="1"/>
  <c r="D41" i="1"/>
  <c r="D42" i="1"/>
  <c r="D43" i="1"/>
  <c r="D45" i="1"/>
  <c r="D46" i="1"/>
  <c r="D47" i="1"/>
  <c r="D48" i="1"/>
  <c r="H9" i="1"/>
  <c r="H10" i="1"/>
  <c r="H11" i="1"/>
  <c r="H12" i="1"/>
  <c r="H13" i="1"/>
  <c r="D16" i="1"/>
  <c r="D18" i="1"/>
  <c r="D8" i="1"/>
  <c r="G48" i="1" l="1"/>
  <c r="H18" i="1"/>
  <c r="H48" i="1" l="1"/>
  <c r="H30" i="1"/>
</calcChain>
</file>

<file path=xl/sharedStrings.xml><?xml version="1.0" encoding="utf-8"?>
<sst xmlns="http://schemas.openxmlformats.org/spreadsheetml/2006/main" count="74" uniqueCount="58">
  <si>
    <t>PERÚ: ECONOMÍA TOTAL</t>
  </si>
  <si>
    <t>Empleos</t>
  </si>
  <si>
    <t>Recursos</t>
  </si>
  <si>
    <t>Valores</t>
  </si>
  <si>
    <t>%</t>
  </si>
  <si>
    <t>P.11</t>
  </si>
  <si>
    <t>Producción de Mercado</t>
  </si>
  <si>
    <t>P.12</t>
  </si>
  <si>
    <t>Producción para uso final propio</t>
  </si>
  <si>
    <t>P.13</t>
  </si>
  <si>
    <t>Otra Producción no de Mercado</t>
  </si>
  <si>
    <t>Total Empleos</t>
  </si>
  <si>
    <t>Excedente de Explotación Bruto</t>
  </si>
  <si>
    <t>Ingreso Mixto Bruto</t>
  </si>
  <si>
    <t>Total Recursos</t>
  </si>
  <si>
    <t>p.b.: precios básicos; p.p: precios de productor</t>
  </si>
  <si>
    <t>P.2</t>
  </si>
  <si>
    <t>Consumo Intermedio</t>
  </si>
  <si>
    <t>B.1b</t>
  </si>
  <si>
    <t>Cuadro Nº 3.1</t>
  </si>
  <si>
    <t>CUENTA DE PRODUCCIÓN, 2019</t>
  </si>
  <si>
    <t>(Millones de soles)</t>
  </si>
  <si>
    <t>P.1</t>
  </si>
  <si>
    <t>Producción p.b.</t>
  </si>
  <si>
    <t>D.21</t>
  </si>
  <si>
    <t>Impuestos a los bienes y servicios</t>
  </si>
  <si>
    <t>D.31</t>
  </si>
  <si>
    <t>Subvenciones a los bienes y servicios</t>
  </si>
  <si>
    <t>Producto Bruto Interno</t>
  </si>
  <si>
    <t>Total Recursos (Producción p.p.)</t>
  </si>
  <si>
    <r>
      <rPr>
        <b/>
        <sz val="8"/>
        <rFont val="Arial Narrow"/>
        <family val="2"/>
      </rPr>
      <t>Nota:</t>
    </r>
    <r>
      <rPr>
        <sz val="8"/>
        <rFont val="Arial Narrow"/>
        <family val="2"/>
      </rPr>
      <t xml:space="preserve"> Las diferencias a nivel de décimas que pudieran presentarse en la estructura porcentual se debe al redondeo de cifras.</t>
    </r>
  </si>
  <si>
    <t>Fuente: Instituto Nacional de Estadística e Informática - Dirección Nacional de Cuentas Nacionales</t>
  </si>
  <si>
    <t>Cuadro Nº 3.6</t>
  </si>
  <si>
    <t>CUENTA DE GENERACIÓN DEL INGRESO, 2019</t>
  </si>
  <si>
    <t>D.1</t>
  </si>
  <si>
    <t>Remuneraciones de los asalariados</t>
  </si>
  <si>
    <t>D.11</t>
  </si>
  <si>
    <t>Sueldos y Salarios</t>
  </si>
  <si>
    <t>D.12</t>
  </si>
  <si>
    <t>Contribuciones sociales de los empleadores</t>
  </si>
  <si>
    <t>D.2</t>
  </si>
  <si>
    <t>Impuestos sobre la producción y las importaciones</t>
  </si>
  <si>
    <t>Impuestos sobre los productos</t>
  </si>
  <si>
    <t>D.211</t>
  </si>
  <si>
    <t xml:space="preserve">    Impuestos tipo valor agregado (IVA)</t>
  </si>
  <si>
    <t>D.212</t>
  </si>
  <si>
    <t xml:space="preserve">    Impuestos y derechos sobre importaciones, excluyendo el IVA</t>
  </si>
  <si>
    <t>D.214</t>
  </si>
  <si>
    <t xml:space="preserve">    Impuestos sobre los productos, excepto el IVA y
    los impuestos sobre exportaciones e importaciones</t>
  </si>
  <si>
    <t>D.29</t>
  </si>
  <si>
    <t>Otros impuestos sobre la Producción</t>
  </si>
  <si>
    <t>D.3</t>
  </si>
  <si>
    <t>Subvenciones</t>
  </si>
  <si>
    <t>Subvenciones a los productos</t>
  </si>
  <si>
    <t>D.39</t>
  </si>
  <si>
    <t>Otras subvenciones a la producción (-)</t>
  </si>
  <si>
    <t>B.2</t>
  </si>
  <si>
    <t>Ingreso de Explotación Bruto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</si>
</sst>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10"/>
      <name val="Bookman Old Style"/>
      <family val="1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231F20"/>
      <name val="Arial Narrow"/>
      <family val="2"/>
    </font>
    <font>
      <b/>
      <sz val="12"/>
      <color rgb="FF231F20"/>
      <name val="Arial Narrow"/>
      <family val="2"/>
    </font>
    <font>
      <sz val="10"/>
      <color rgb="FF231F20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sz val="9"/>
      <name val="Arial Narrow"/>
      <family val="2"/>
    </font>
    <font>
      <sz val="10"/>
      <color theme="1"/>
      <name val="Arial Narrow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00AEEF"/>
      </bottom>
      <diagonal/>
    </border>
    <border>
      <left/>
      <right style="thick">
        <color rgb="FF00AEEF"/>
      </right>
      <top style="medium">
        <color rgb="FF00AEEF"/>
      </top>
      <bottom/>
      <diagonal/>
    </border>
    <border>
      <left/>
      <right style="thick">
        <color rgb="FF00AEEF"/>
      </right>
      <top/>
      <bottom/>
      <diagonal/>
    </border>
    <border>
      <left/>
      <right style="thick">
        <color rgb="FF00AEEF"/>
      </right>
      <top/>
      <bottom style="medium">
        <color rgb="FF00AEEF"/>
      </bottom>
      <diagonal/>
    </border>
    <border>
      <left/>
      <right/>
      <top style="medium">
        <color rgb="FF00AEEF"/>
      </top>
      <bottom style="medium">
        <color rgb="FF00AEEF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69">
    <xf numFmtId="0" fontId="0" fillId="0" borderId="0" xfId="0"/>
    <xf numFmtId="0" fontId="1" fillId="0" borderId="0" xfId="1" applyProtection="1">
      <protection locked="0"/>
    </xf>
    <xf numFmtId="0" fontId="5" fillId="0" borderId="0" xfId="2" applyFont="1" applyAlignment="1">
      <alignment horizontal="left" vertical="center"/>
    </xf>
    <xf numFmtId="0" fontId="6" fillId="0" borderId="0" xfId="1" applyFont="1" applyProtection="1">
      <protection locked="0"/>
    </xf>
    <xf numFmtId="0" fontId="6" fillId="0" borderId="0" xfId="1" applyFont="1" applyAlignment="1" applyProtection="1">
      <alignment horizontal="left" indent="1"/>
      <protection locked="0"/>
    </xf>
    <xf numFmtId="0" fontId="1" fillId="0" borderId="0" xfId="1" applyAlignment="1" applyProtection="1">
      <alignment horizontal="left" indent="1"/>
      <protection locked="0"/>
    </xf>
    <xf numFmtId="0" fontId="2" fillId="0" borderId="0" xfId="1" applyFont="1" applyProtection="1">
      <protection locked="0"/>
    </xf>
    <xf numFmtId="0" fontId="2" fillId="0" borderId="0" xfId="1" applyFont="1" applyAlignment="1" applyProtection="1">
      <alignment horizontal="left" indent="1"/>
      <protection locked="0"/>
    </xf>
    <xf numFmtId="3" fontId="2" fillId="0" borderId="0" xfId="1" applyNumberFormat="1" applyFont="1" applyProtection="1">
      <protection locked="0"/>
    </xf>
    <xf numFmtId="0" fontId="11" fillId="0" borderId="3" xfId="1" applyFont="1" applyBorder="1" applyAlignment="1" applyProtection="1">
      <alignment horizontal="left" vertical="center" indent="1"/>
      <protection locked="0"/>
    </xf>
    <xf numFmtId="0" fontId="12" fillId="0" borderId="3" xfId="1" applyFont="1" applyBorder="1" applyAlignment="1" applyProtection="1">
      <alignment horizontal="centerContinuous" vertical="center"/>
      <protection locked="0"/>
    </xf>
    <xf numFmtId="0" fontId="13" fillId="0" borderId="1" xfId="1" applyFont="1" applyBorder="1" applyAlignment="1" applyProtection="1">
      <alignment horizontal="left"/>
      <protection locked="0"/>
    </xf>
    <xf numFmtId="0" fontId="14" fillId="0" borderId="1" xfId="1" applyFont="1" applyBorder="1" applyAlignment="1" applyProtection="1">
      <alignment horizontal="centerContinuous"/>
      <protection locked="0"/>
    </xf>
    <xf numFmtId="0" fontId="13" fillId="0" borderId="1" xfId="1" applyFont="1" applyBorder="1" applyAlignment="1" applyProtection="1">
      <alignment horizontal="centerContinuous"/>
      <protection locked="0"/>
    </xf>
    <xf numFmtId="0" fontId="13" fillId="0" borderId="4" xfId="1" applyFont="1" applyBorder="1" applyAlignment="1" applyProtection="1">
      <alignment horizontal="center"/>
      <protection locked="0"/>
    </xf>
    <xf numFmtId="0" fontId="13" fillId="0" borderId="1" xfId="1" applyFont="1" applyBorder="1" applyAlignment="1" applyProtection="1">
      <alignment horizontal="left" indent="1"/>
      <protection locked="0"/>
    </xf>
    <xf numFmtId="0" fontId="13" fillId="0" borderId="1" xfId="1" applyFont="1" applyBorder="1" applyAlignment="1" applyProtection="1">
      <alignment horizontal="right"/>
      <protection locked="0"/>
    </xf>
    <xf numFmtId="0" fontId="13" fillId="0" borderId="1" xfId="1" applyFont="1" applyBorder="1" applyAlignment="1" applyProtection="1">
      <alignment horizontal="center"/>
      <protection locked="0"/>
    </xf>
    <xf numFmtId="0" fontId="13" fillId="0" borderId="0" xfId="1" applyFont="1" applyAlignment="1" applyProtection="1">
      <alignment horizontal="left"/>
      <protection locked="0"/>
    </xf>
    <xf numFmtId="3" fontId="13" fillId="0" borderId="0" xfId="1" applyNumberFormat="1" applyFont="1" applyAlignment="1" applyProtection="1">
      <alignment horizontal="right"/>
      <protection locked="0"/>
    </xf>
    <xf numFmtId="164" fontId="13" fillId="0" borderId="5" xfId="1" applyNumberFormat="1" applyFont="1" applyBorder="1" applyAlignment="1" applyProtection="1">
      <alignment horizontal="right" indent="1"/>
      <protection locked="0"/>
    </xf>
    <xf numFmtId="0" fontId="13" fillId="0" borderId="0" xfId="1" applyFont="1" applyAlignment="1" applyProtection="1">
      <alignment horizontal="left" indent="1"/>
      <protection locked="0"/>
    </xf>
    <xf numFmtId="164" fontId="13" fillId="0" borderId="0" xfId="1" applyNumberFormat="1" applyFont="1" applyAlignment="1" applyProtection="1">
      <alignment horizontal="right"/>
      <protection locked="0"/>
    </xf>
    <xf numFmtId="0" fontId="14" fillId="0" borderId="0" xfId="1" applyFont="1" applyAlignment="1" applyProtection="1">
      <alignment horizontal="left"/>
      <protection locked="0"/>
    </xf>
    <xf numFmtId="3" fontId="14" fillId="0" borderId="0" xfId="1" applyNumberFormat="1" applyFont="1" applyAlignment="1" applyProtection="1">
      <alignment horizontal="right"/>
      <protection locked="0"/>
    </xf>
    <xf numFmtId="0" fontId="14" fillId="0" borderId="5" xfId="1" applyFont="1" applyBorder="1" applyAlignment="1" applyProtection="1">
      <alignment horizontal="right" indent="1"/>
      <protection locked="0"/>
    </xf>
    <xf numFmtId="0" fontId="14" fillId="0" borderId="0" xfId="1" applyFont="1" applyAlignment="1" applyProtection="1">
      <alignment horizontal="left" indent="1"/>
      <protection locked="0"/>
    </xf>
    <xf numFmtId="164" fontId="14" fillId="0" borderId="0" xfId="1" applyNumberFormat="1" applyFont="1" applyAlignment="1" applyProtection="1">
      <alignment horizontal="right"/>
      <protection locked="0"/>
    </xf>
    <xf numFmtId="0" fontId="14" fillId="0" borderId="0" xfId="1" applyFont="1" applyAlignment="1" applyProtection="1">
      <alignment horizontal="left" indent="2"/>
      <protection locked="0"/>
    </xf>
    <xf numFmtId="0" fontId="14" fillId="0" borderId="0" xfId="1" applyFont="1" applyAlignment="1" applyProtection="1">
      <alignment horizontal="right"/>
      <protection locked="0"/>
    </xf>
    <xf numFmtId="0" fontId="14" fillId="0" borderId="2" xfId="1" applyFont="1" applyBorder="1" applyAlignment="1" applyProtection="1">
      <alignment horizontal="left"/>
      <protection locked="0"/>
    </xf>
    <xf numFmtId="3" fontId="14" fillId="0" borderId="2" xfId="1" applyNumberFormat="1" applyFont="1" applyBorder="1" applyAlignment="1" applyProtection="1">
      <alignment horizontal="right"/>
      <protection locked="0"/>
    </xf>
    <xf numFmtId="0" fontId="14" fillId="0" borderId="6" xfId="1" applyFont="1" applyBorder="1" applyAlignment="1" applyProtection="1">
      <alignment horizontal="right" indent="1"/>
      <protection locked="0"/>
    </xf>
    <xf numFmtId="0" fontId="14" fillId="0" borderId="2" xfId="1" applyFont="1" applyBorder="1" applyAlignment="1" applyProtection="1">
      <alignment horizontal="left" indent="1"/>
      <protection locked="0"/>
    </xf>
    <xf numFmtId="0" fontId="14" fillId="0" borderId="2" xfId="1" applyFont="1" applyBorder="1" applyAlignment="1" applyProtection="1">
      <alignment horizontal="right"/>
      <protection locked="0"/>
    </xf>
    <xf numFmtId="0" fontId="12" fillId="0" borderId="7" xfId="1" applyFont="1" applyBorder="1" applyAlignment="1" applyProtection="1">
      <alignment horizontal="left" vertical="center"/>
      <protection locked="0"/>
    </xf>
    <xf numFmtId="0" fontId="11" fillId="0" borderId="7" xfId="1" applyFont="1" applyBorder="1" applyAlignment="1" applyProtection="1">
      <alignment horizontal="left" vertical="center"/>
      <protection locked="0"/>
    </xf>
    <xf numFmtId="3" fontId="11" fillId="0" borderId="7" xfId="1" applyNumberFormat="1" applyFont="1" applyBorder="1" applyAlignment="1" applyProtection="1">
      <alignment horizontal="right" vertical="center"/>
      <protection locked="0"/>
    </xf>
    <xf numFmtId="164" fontId="11" fillId="0" borderId="7" xfId="1" applyNumberFormat="1" applyFont="1" applyBorder="1" applyAlignment="1" applyProtection="1">
      <alignment horizontal="right" vertical="center"/>
      <protection locked="0"/>
    </xf>
    <xf numFmtId="0" fontId="15" fillId="0" borderId="0" xfId="1" applyFont="1" applyAlignment="1" applyProtection="1">
      <alignment horizontal="left" vertical="center"/>
      <protection locked="0"/>
    </xf>
    <xf numFmtId="0" fontId="11" fillId="0" borderId="0" xfId="1" applyFont="1" applyAlignment="1" applyProtection="1">
      <alignment horizontal="left" vertical="center"/>
      <protection locked="0"/>
    </xf>
    <xf numFmtId="3" fontId="11" fillId="0" borderId="0" xfId="1" applyNumberFormat="1" applyFont="1" applyAlignment="1" applyProtection="1">
      <alignment horizontal="right" vertical="center"/>
      <protection locked="0"/>
    </xf>
    <xf numFmtId="164" fontId="11" fillId="0" borderId="0" xfId="1" applyNumberFormat="1" applyFont="1" applyAlignment="1" applyProtection="1">
      <alignment horizontal="right" vertical="center"/>
      <protection locked="0"/>
    </xf>
    <xf numFmtId="0" fontId="16" fillId="0" borderId="0" xfId="2" applyFont="1" applyAlignment="1">
      <alignment horizontal="left" vertical="center"/>
    </xf>
    <xf numFmtId="0" fontId="17" fillId="0" borderId="0" xfId="1" applyFont="1" applyProtection="1">
      <protection locked="0"/>
    </xf>
    <xf numFmtId="0" fontId="17" fillId="0" borderId="0" xfId="1" applyFont="1" applyAlignment="1" applyProtection="1">
      <alignment horizontal="left" indent="1"/>
      <protection locked="0"/>
    </xf>
    <xf numFmtId="0" fontId="3" fillId="0" borderId="0" xfId="1" applyFont="1" applyProtection="1">
      <protection locked="0"/>
    </xf>
    <xf numFmtId="0" fontId="3" fillId="0" borderId="0" xfId="1" applyFont="1" applyAlignment="1" applyProtection="1">
      <alignment horizontal="left" indent="1"/>
      <protection locked="0"/>
    </xf>
    <xf numFmtId="0" fontId="14" fillId="0" borderId="1" xfId="1" applyFont="1" applyBorder="1" applyAlignment="1" applyProtection="1">
      <alignment horizontal="left" indent="1"/>
      <protection locked="0"/>
    </xf>
    <xf numFmtId="0" fontId="14" fillId="0" borderId="1" xfId="1" applyFont="1" applyBorder="1" applyAlignment="1" applyProtection="1">
      <alignment horizontal="right"/>
      <protection locked="0"/>
    </xf>
    <xf numFmtId="0" fontId="13" fillId="0" borderId="0" xfId="1" quotePrefix="1" applyFont="1" applyAlignment="1" applyProtection="1">
      <alignment horizontal="left"/>
      <protection locked="0"/>
    </xf>
    <xf numFmtId="164" fontId="14" fillId="0" borderId="5" xfId="1" applyNumberFormat="1" applyFont="1" applyBorder="1" applyAlignment="1" applyProtection="1">
      <alignment horizontal="right" indent="1"/>
      <protection locked="0"/>
    </xf>
    <xf numFmtId="0" fontId="14" fillId="0" borderId="0" xfId="1" applyFont="1" applyAlignment="1" applyProtection="1">
      <alignment horizontal="left" wrapText="1" indent="1"/>
      <protection locked="0"/>
    </xf>
    <xf numFmtId="0" fontId="18" fillId="0" borderId="0" xfId="0" applyFont="1" applyAlignment="1">
      <alignment horizontal="left"/>
    </xf>
    <xf numFmtId="0" fontId="19" fillId="0" borderId="0" xfId="1" applyFont="1" applyProtection="1">
      <protection locked="0"/>
    </xf>
    <xf numFmtId="0" fontId="18" fillId="0" borderId="0" xfId="0" applyFont="1" applyAlignment="1">
      <alignment horizontal="left" vertical="top" wrapText="1"/>
    </xf>
    <xf numFmtId="0" fontId="18" fillId="0" borderId="0" xfId="0" quotePrefix="1" applyFont="1" applyAlignment="1">
      <alignment horizontal="left" vertical="top" wrapText="1"/>
    </xf>
    <xf numFmtId="3" fontId="14" fillId="0" borderId="0" xfId="1" applyNumberFormat="1" applyFont="1" applyAlignment="1" applyProtection="1">
      <alignment horizontal="left"/>
      <protection locked="0"/>
    </xf>
    <xf numFmtId="0" fontId="7" fillId="0" borderId="0" xfId="0" applyFont="1"/>
    <xf numFmtId="164" fontId="14" fillId="0" borderId="6" xfId="1" applyNumberFormat="1" applyFont="1" applyBorder="1" applyAlignment="1" applyProtection="1">
      <alignment horizontal="right" indent="1"/>
      <protection locked="0"/>
    </xf>
    <xf numFmtId="0" fontId="6" fillId="0" borderId="0" xfId="1" applyFont="1" applyAlignment="1" applyProtection="1">
      <alignment horizontal="left"/>
      <protection locked="0"/>
    </xf>
    <xf numFmtId="3" fontId="1" fillId="0" borderId="0" xfId="1" applyNumberFormat="1" applyProtection="1">
      <protection locked="0"/>
    </xf>
    <xf numFmtId="164" fontId="1" fillId="0" borderId="0" xfId="1" applyNumberFormat="1" applyProtection="1">
      <protection locked="0"/>
    </xf>
    <xf numFmtId="0" fontId="8" fillId="0" borderId="0" xfId="1" applyFont="1" applyAlignment="1" applyProtection="1">
      <alignment horizontal="center" wrapText="1"/>
      <protection locked="0"/>
    </xf>
    <xf numFmtId="0" fontId="8" fillId="0" borderId="0" xfId="1" applyFont="1" applyAlignment="1" applyProtection="1">
      <alignment horizontal="center"/>
      <protection locked="0"/>
    </xf>
    <xf numFmtId="0" fontId="10" fillId="0" borderId="0" xfId="1" applyFont="1" applyAlignment="1" applyProtection="1">
      <alignment horizontal="center" vertical="top"/>
      <protection locked="0"/>
    </xf>
    <xf numFmtId="0" fontId="9" fillId="0" borderId="0" xfId="1" applyFont="1" applyAlignment="1" applyProtection="1">
      <alignment horizontal="center"/>
      <protection locked="0"/>
    </xf>
    <xf numFmtId="0" fontId="11" fillId="0" borderId="3" xfId="1" applyFont="1" applyBorder="1" applyAlignment="1" applyProtection="1">
      <alignment horizontal="right" vertical="center"/>
      <protection locked="0"/>
    </xf>
    <xf numFmtId="0" fontId="10" fillId="0" borderId="0" xfId="1" applyFont="1" applyAlignment="1" applyProtection="1">
      <alignment horizontal="center"/>
      <protection locked="0"/>
    </xf>
  </cellXfs>
  <cellStyles count="3">
    <cellStyle name="Normal" xfId="0" builtinId="0"/>
    <cellStyle name="Normal 2" xfId="2" xr:uid="{00000000-0005-0000-0000-000001000000}"/>
    <cellStyle name="Normal 2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showGridLines="0" tabSelected="1" topLeftCell="A24" workbookViewId="0">
      <selection activeCell="K35" sqref="K35"/>
    </sheetView>
  </sheetViews>
  <sheetFormatPr baseColWidth="10" defaultRowHeight="15" x14ac:dyDescent="0.25"/>
  <cols>
    <col min="1" max="1" width="5.42578125" style="1" customWidth="1"/>
    <col min="2" max="2" width="41.28515625" style="1" customWidth="1"/>
    <col min="3" max="3" width="14.5703125" style="1" customWidth="1"/>
    <col min="4" max="4" width="9.28515625" style="1" customWidth="1"/>
    <col min="5" max="5" width="5.5703125" style="5" customWidth="1"/>
    <col min="6" max="6" width="30.5703125" style="1" customWidth="1"/>
    <col min="7" max="7" width="12.42578125" style="1" customWidth="1"/>
    <col min="8" max="8" width="7.42578125" style="1" bestFit="1" customWidth="1"/>
  </cols>
  <sheetData>
    <row r="1" spans="1:8" ht="17.25" x14ac:dyDescent="0.3">
      <c r="A1" s="63" t="s">
        <v>19</v>
      </c>
      <c r="B1" s="64"/>
      <c r="C1" s="64"/>
      <c r="D1" s="64"/>
      <c r="E1" s="64"/>
      <c r="F1" s="64"/>
      <c r="G1" s="64"/>
      <c r="H1" s="64"/>
    </row>
    <row r="2" spans="1:8" ht="17.25" x14ac:dyDescent="0.3">
      <c r="A2" s="64" t="s">
        <v>0</v>
      </c>
      <c r="B2" s="64"/>
      <c r="C2" s="64"/>
      <c r="D2" s="64"/>
      <c r="E2" s="64"/>
      <c r="F2" s="64"/>
      <c r="G2" s="64"/>
      <c r="H2" s="64"/>
    </row>
    <row r="3" spans="1:8" ht="15.75" x14ac:dyDescent="0.25">
      <c r="A3" s="66" t="s">
        <v>20</v>
      </c>
      <c r="B3" s="66"/>
      <c r="C3" s="66"/>
      <c r="D3" s="66"/>
      <c r="E3" s="66"/>
      <c r="F3" s="66"/>
      <c r="G3" s="66"/>
      <c r="H3" s="66"/>
    </row>
    <row r="4" spans="1:8" x14ac:dyDescent="0.25">
      <c r="A4" s="65" t="s">
        <v>21</v>
      </c>
      <c r="B4" s="65"/>
      <c r="C4" s="65"/>
      <c r="D4" s="65"/>
      <c r="E4" s="65"/>
      <c r="F4" s="65"/>
      <c r="G4" s="65"/>
      <c r="H4" s="65"/>
    </row>
    <row r="5" spans="1:8" x14ac:dyDescent="0.25">
      <c r="A5" s="6"/>
      <c r="B5" s="6"/>
      <c r="C5" s="6"/>
      <c r="D5" s="6"/>
      <c r="E5" s="7"/>
      <c r="F5" s="6"/>
      <c r="G5" s="8"/>
      <c r="H5" s="6"/>
    </row>
    <row r="6" spans="1:8" ht="17.25" thickBot="1" x14ac:dyDescent="0.3">
      <c r="A6" s="9" t="s">
        <v>1</v>
      </c>
      <c r="B6" s="10"/>
      <c r="C6" s="10"/>
      <c r="D6" s="10"/>
      <c r="E6" s="67" t="s">
        <v>2</v>
      </c>
      <c r="F6" s="67"/>
      <c r="G6" s="67"/>
      <c r="H6" s="67"/>
    </row>
    <row r="7" spans="1:8" x14ac:dyDescent="0.25">
      <c r="A7" s="11"/>
      <c r="B7" s="12"/>
      <c r="C7" s="13" t="s">
        <v>3</v>
      </c>
      <c r="D7" s="14" t="s">
        <v>4</v>
      </c>
      <c r="E7" s="15"/>
      <c r="F7" s="16"/>
      <c r="G7" s="16" t="s">
        <v>3</v>
      </c>
      <c r="H7" s="17" t="s">
        <v>4</v>
      </c>
    </row>
    <row r="8" spans="1:8" x14ac:dyDescent="0.25">
      <c r="A8" s="18" t="s">
        <v>16</v>
      </c>
      <c r="B8" s="18" t="s">
        <v>17</v>
      </c>
      <c r="C8" s="19"/>
      <c r="D8" s="20" t="e">
        <f>C8/C18*100</f>
        <v>#DIV/0!</v>
      </c>
      <c r="E8" s="21" t="s">
        <v>22</v>
      </c>
      <c r="F8" s="18" t="s">
        <v>23</v>
      </c>
      <c r="G8" s="19">
        <f>G9+G10+G11</f>
        <v>0</v>
      </c>
      <c r="H8" s="22" t="e">
        <f>G8/G18*100</f>
        <v>#DIV/0!</v>
      </c>
    </row>
    <row r="9" spans="1:8" x14ac:dyDescent="0.25">
      <c r="A9" s="23"/>
      <c r="B9" s="23"/>
      <c r="C9" s="24"/>
      <c r="D9" s="25"/>
      <c r="E9" s="26" t="s">
        <v>5</v>
      </c>
      <c r="F9" s="26" t="s">
        <v>6</v>
      </c>
      <c r="G9" s="24"/>
      <c r="H9" s="27" t="e">
        <f>G9/G18*100</f>
        <v>#DIV/0!</v>
      </c>
    </row>
    <row r="10" spans="1:8" x14ac:dyDescent="0.25">
      <c r="A10" s="23"/>
      <c r="B10" s="23"/>
      <c r="C10" s="24"/>
      <c r="D10" s="25"/>
      <c r="E10" s="26" t="s">
        <v>7</v>
      </c>
      <c r="F10" s="26" t="s">
        <v>8</v>
      </c>
      <c r="G10" s="24"/>
      <c r="H10" s="27" t="e">
        <f>G10/G18*100</f>
        <v>#DIV/0!</v>
      </c>
    </row>
    <row r="11" spans="1:8" x14ac:dyDescent="0.25">
      <c r="A11" s="23"/>
      <c r="B11" s="23"/>
      <c r="C11" s="24"/>
      <c r="D11" s="25"/>
      <c r="E11" s="26" t="s">
        <v>9</v>
      </c>
      <c r="F11" s="26" t="s">
        <v>10</v>
      </c>
      <c r="G11" s="24"/>
      <c r="H11" s="27" t="e">
        <f>G11/G18*100</f>
        <v>#DIV/0!</v>
      </c>
    </row>
    <row r="12" spans="1:8" x14ac:dyDescent="0.25">
      <c r="A12" s="23"/>
      <c r="B12" s="23"/>
      <c r="C12" s="24"/>
      <c r="D12" s="25"/>
      <c r="E12" s="21" t="s">
        <v>24</v>
      </c>
      <c r="F12" s="18" t="s">
        <v>25</v>
      </c>
      <c r="G12" s="19"/>
      <c r="H12" s="22" t="e">
        <f>G12/G$18*100</f>
        <v>#DIV/0!</v>
      </c>
    </row>
    <row r="13" spans="1:8" x14ac:dyDescent="0.25">
      <c r="A13" s="23"/>
      <c r="B13" s="23"/>
      <c r="C13" s="24"/>
      <c r="D13" s="25"/>
      <c r="E13" s="21" t="s">
        <v>26</v>
      </c>
      <c r="F13" s="18" t="s">
        <v>27</v>
      </c>
      <c r="G13" s="19"/>
      <c r="H13" s="22" t="e">
        <f>G13/G$18*100</f>
        <v>#DIV/0!</v>
      </c>
    </row>
    <row r="14" spans="1:8" x14ac:dyDescent="0.25">
      <c r="A14" s="23"/>
      <c r="B14" s="23"/>
      <c r="C14" s="24"/>
      <c r="D14" s="25"/>
      <c r="E14" s="28"/>
      <c r="F14" s="23"/>
      <c r="G14" s="24"/>
      <c r="H14" s="29"/>
    </row>
    <row r="15" spans="1:8" x14ac:dyDescent="0.25">
      <c r="A15" s="23"/>
      <c r="B15" s="23"/>
      <c r="C15" s="24"/>
      <c r="D15" s="25"/>
      <c r="E15" s="28"/>
      <c r="F15" s="23"/>
      <c r="G15" s="24"/>
      <c r="H15" s="29"/>
    </row>
    <row r="16" spans="1:8" x14ac:dyDescent="0.25">
      <c r="A16" s="18" t="s">
        <v>18</v>
      </c>
      <c r="B16" s="18" t="s">
        <v>28</v>
      </c>
      <c r="C16" s="19">
        <f>G8+G12+G13-C8</f>
        <v>0</v>
      </c>
      <c r="D16" s="20" t="e">
        <f>C16/C18*100</f>
        <v>#DIV/0!</v>
      </c>
      <c r="E16" s="26"/>
      <c r="F16" s="23"/>
      <c r="G16" s="24"/>
      <c r="H16" s="29"/>
    </row>
    <row r="17" spans="1:8" ht="15.75" thickBot="1" x14ac:dyDescent="0.3">
      <c r="A17" s="30"/>
      <c r="B17" s="30"/>
      <c r="C17" s="31"/>
      <c r="D17" s="32"/>
      <c r="E17" s="33"/>
      <c r="F17" s="30"/>
      <c r="G17" s="31"/>
      <c r="H17" s="34"/>
    </row>
    <row r="18" spans="1:8" ht="17.25" thickBot="1" x14ac:dyDescent="0.3">
      <c r="A18" s="35"/>
      <c r="B18" s="36" t="s">
        <v>11</v>
      </c>
      <c r="C18" s="37">
        <f>+C8+C16</f>
        <v>0</v>
      </c>
      <c r="D18" s="38" t="e">
        <f>C18/C18*100</f>
        <v>#DIV/0!</v>
      </c>
      <c r="E18" s="36"/>
      <c r="F18" s="36" t="s">
        <v>29</v>
      </c>
      <c r="G18" s="37">
        <f>+G8+G12+G13</f>
        <v>0</v>
      </c>
      <c r="H18" s="38" t="e">
        <f>+H8+H12+H13</f>
        <v>#DIV/0!</v>
      </c>
    </row>
    <row r="19" spans="1:8" ht="16.5" x14ac:dyDescent="0.25">
      <c r="A19" s="39" t="s">
        <v>30</v>
      </c>
      <c r="B19" s="40"/>
      <c r="C19" s="41"/>
      <c r="D19" s="42"/>
      <c r="E19" s="40"/>
      <c r="F19" s="40"/>
      <c r="G19" s="41"/>
      <c r="H19" s="42"/>
    </row>
    <row r="20" spans="1:8" x14ac:dyDescent="0.25">
      <c r="A20" s="43" t="s">
        <v>15</v>
      </c>
      <c r="B20" s="44"/>
      <c r="C20" s="44"/>
      <c r="D20" s="44"/>
      <c r="E20" s="45"/>
      <c r="F20" s="44"/>
      <c r="G20" s="44"/>
      <c r="H20" s="44"/>
    </row>
    <row r="21" spans="1:8" x14ac:dyDescent="0.25">
      <c r="A21" s="43" t="s">
        <v>31</v>
      </c>
      <c r="B21" s="44"/>
      <c r="C21" s="44"/>
      <c r="D21" s="44"/>
      <c r="E21" s="45"/>
      <c r="F21" s="44"/>
      <c r="G21" s="44"/>
      <c r="H21" s="44"/>
    </row>
    <row r="22" spans="1:8" x14ac:dyDescent="0.25">
      <c r="A22" s="2"/>
      <c r="B22" s="46"/>
      <c r="C22" s="46"/>
      <c r="D22" s="46"/>
      <c r="E22" s="47"/>
      <c r="F22" s="46"/>
      <c r="G22" s="46"/>
      <c r="H22" s="46"/>
    </row>
    <row r="23" spans="1:8" ht="17.25" x14ac:dyDescent="0.3">
      <c r="A23" s="63" t="s">
        <v>32</v>
      </c>
      <c r="B23" s="64"/>
      <c r="C23" s="64"/>
      <c r="D23" s="64"/>
      <c r="E23" s="64"/>
      <c r="F23" s="64"/>
      <c r="G23" s="64"/>
      <c r="H23" s="64"/>
    </row>
    <row r="24" spans="1:8" ht="17.25" x14ac:dyDescent="0.3">
      <c r="A24" s="64" t="s">
        <v>0</v>
      </c>
      <c r="B24" s="64"/>
      <c r="C24" s="64"/>
      <c r="D24" s="64"/>
      <c r="E24" s="64"/>
      <c r="F24" s="64"/>
      <c r="G24" s="64"/>
      <c r="H24" s="64"/>
    </row>
    <row r="25" spans="1:8" ht="15.75" x14ac:dyDescent="0.25">
      <c r="A25" s="66" t="s">
        <v>33</v>
      </c>
      <c r="B25" s="66"/>
      <c r="C25" s="66"/>
      <c r="D25" s="66"/>
      <c r="E25" s="66"/>
      <c r="F25" s="66"/>
      <c r="G25" s="66"/>
      <c r="H25" s="66"/>
    </row>
    <row r="26" spans="1:8" x14ac:dyDescent="0.25">
      <c r="A26" s="68" t="s">
        <v>21</v>
      </c>
      <c r="B26" s="68"/>
      <c r="C26" s="68"/>
      <c r="D26" s="68"/>
      <c r="E26" s="68"/>
      <c r="F26" s="68"/>
      <c r="G26" s="68"/>
      <c r="H26" s="68"/>
    </row>
    <row r="27" spans="1:8" x14ac:dyDescent="0.25">
      <c r="A27" s="46"/>
      <c r="B27" s="46"/>
      <c r="C27" s="46"/>
      <c r="D27" s="46"/>
      <c r="E27" s="47"/>
      <c r="F27" s="46"/>
      <c r="G27" s="46"/>
      <c r="H27" s="46"/>
    </row>
    <row r="28" spans="1:8" ht="17.25" thickBot="1" x14ac:dyDescent="0.3">
      <c r="A28" s="9" t="s">
        <v>1</v>
      </c>
      <c r="B28" s="10"/>
      <c r="C28" s="10"/>
      <c r="D28" s="10"/>
      <c r="E28" s="67" t="s">
        <v>2</v>
      </c>
      <c r="F28" s="67"/>
      <c r="G28" s="67"/>
      <c r="H28" s="67"/>
    </row>
    <row r="29" spans="1:8" x14ac:dyDescent="0.25">
      <c r="A29" s="11"/>
      <c r="B29" s="12"/>
      <c r="C29" s="16" t="s">
        <v>3</v>
      </c>
      <c r="D29" s="14" t="s">
        <v>4</v>
      </c>
      <c r="E29" s="48"/>
      <c r="F29" s="16"/>
      <c r="G29" s="49" t="s">
        <v>3</v>
      </c>
      <c r="H29" s="17" t="s">
        <v>4</v>
      </c>
    </row>
    <row r="30" spans="1:8" x14ac:dyDescent="0.25">
      <c r="A30" s="18" t="s">
        <v>34</v>
      </c>
      <c r="B30" s="50" t="s">
        <v>35</v>
      </c>
      <c r="C30" s="19">
        <f>+C31+C32</f>
        <v>0</v>
      </c>
      <c r="D30" s="20" t="e">
        <f>C30/C48*100</f>
        <v>#DIV/0!</v>
      </c>
      <c r="E30" s="21" t="s">
        <v>18</v>
      </c>
      <c r="F30" s="18" t="s">
        <v>28</v>
      </c>
      <c r="G30" s="19">
        <f>+C16</f>
        <v>0</v>
      </c>
      <c r="H30" s="22" t="e">
        <f>G30/G48*100</f>
        <v>#DIV/0!</v>
      </c>
    </row>
    <row r="31" spans="1:8" x14ac:dyDescent="0.25">
      <c r="A31" s="23" t="s">
        <v>36</v>
      </c>
      <c r="B31" s="26" t="s">
        <v>37</v>
      </c>
      <c r="C31" s="24"/>
      <c r="D31" s="51" t="e">
        <f>C31/C48*100</f>
        <v>#DIV/0!</v>
      </c>
      <c r="E31" s="26"/>
      <c r="F31" s="23"/>
      <c r="G31" s="24"/>
      <c r="H31" s="26"/>
    </row>
    <row r="32" spans="1:8" x14ac:dyDescent="0.25">
      <c r="A32" s="23" t="s">
        <v>38</v>
      </c>
      <c r="B32" s="52" t="s">
        <v>39</v>
      </c>
      <c r="C32" s="24"/>
      <c r="D32" s="51" t="e">
        <f>C32/C48*100</f>
        <v>#DIV/0!</v>
      </c>
      <c r="E32" s="26"/>
      <c r="F32" s="23"/>
      <c r="G32" s="24"/>
      <c r="H32" s="26"/>
    </row>
    <row r="33" spans="1:8" x14ac:dyDescent="0.25">
      <c r="A33" s="23"/>
      <c r="B33" s="53"/>
      <c r="C33" s="24"/>
      <c r="D33" s="51"/>
      <c r="E33" s="26"/>
      <c r="F33" s="23"/>
      <c r="G33" s="24"/>
      <c r="H33" s="26"/>
    </row>
    <row r="34" spans="1:8" x14ac:dyDescent="0.25">
      <c r="A34" s="18" t="s">
        <v>40</v>
      </c>
      <c r="B34" s="18" t="s">
        <v>41</v>
      </c>
      <c r="C34" s="19">
        <f>+C35+C39</f>
        <v>0</v>
      </c>
      <c r="D34" s="20" t="e">
        <f t="shared" ref="D34:D39" si="0">C34/C$48*100</f>
        <v>#DIV/0!</v>
      </c>
      <c r="E34" s="21"/>
      <c r="F34" s="18"/>
      <c r="G34" s="19"/>
      <c r="H34" s="21"/>
    </row>
    <row r="35" spans="1:8" x14ac:dyDescent="0.25">
      <c r="A35" s="18" t="s">
        <v>24</v>
      </c>
      <c r="B35" s="18" t="s">
        <v>42</v>
      </c>
      <c r="C35" s="19">
        <f>+C36+C37+C38</f>
        <v>0</v>
      </c>
      <c r="D35" s="20" t="e">
        <f t="shared" si="0"/>
        <v>#DIV/0!</v>
      </c>
      <c r="E35" s="21"/>
      <c r="F35" s="18"/>
      <c r="G35" s="19"/>
      <c r="H35" s="54"/>
    </row>
    <row r="36" spans="1:8" x14ac:dyDescent="0.25">
      <c r="A36" s="23" t="s">
        <v>43</v>
      </c>
      <c r="B36" s="53" t="s">
        <v>44</v>
      </c>
      <c r="C36" s="24"/>
      <c r="D36" s="51" t="e">
        <f t="shared" si="0"/>
        <v>#DIV/0!</v>
      </c>
      <c r="E36" s="26"/>
      <c r="F36" s="23"/>
      <c r="G36" s="24"/>
      <c r="H36" s="26"/>
    </row>
    <row r="37" spans="1:8" ht="25.5" x14ac:dyDescent="0.25">
      <c r="A37" s="55" t="s">
        <v>45</v>
      </c>
      <c r="B37" s="56" t="s">
        <v>46</v>
      </c>
      <c r="C37" s="24"/>
      <c r="D37" s="51" t="e">
        <f t="shared" si="0"/>
        <v>#DIV/0!</v>
      </c>
      <c r="E37" s="26"/>
      <c r="F37" s="23"/>
      <c r="G37" s="24"/>
      <c r="H37" s="26"/>
    </row>
    <row r="38" spans="1:8" ht="25.5" x14ac:dyDescent="0.25">
      <c r="A38" s="55" t="s">
        <v>47</v>
      </c>
      <c r="B38" s="56" t="s">
        <v>48</v>
      </c>
      <c r="C38" s="24"/>
      <c r="D38" s="51" t="e">
        <f t="shared" si="0"/>
        <v>#DIV/0!</v>
      </c>
      <c r="E38" s="26"/>
      <c r="F38" s="23"/>
      <c r="G38" s="24"/>
      <c r="H38" s="26"/>
    </row>
    <row r="39" spans="1:8" x14ac:dyDescent="0.25">
      <c r="A39" s="18" t="s">
        <v>49</v>
      </c>
      <c r="B39" s="18" t="s">
        <v>50</v>
      </c>
      <c r="C39" s="19"/>
      <c r="D39" s="20" t="e">
        <f t="shared" si="0"/>
        <v>#DIV/0!</v>
      </c>
      <c r="E39" s="26"/>
      <c r="F39" s="57"/>
      <c r="G39" s="24"/>
      <c r="H39" s="26"/>
    </row>
    <row r="40" spans="1:8" x14ac:dyDescent="0.25">
      <c r="A40" s="18"/>
      <c r="B40" s="18"/>
      <c r="C40" s="19"/>
      <c r="D40" s="20"/>
      <c r="E40" s="26"/>
      <c r="F40" s="57"/>
      <c r="G40" s="24"/>
      <c r="H40" s="26"/>
    </row>
    <row r="41" spans="1:8" s="58" customFormat="1" x14ac:dyDescent="0.25">
      <c r="A41" s="18" t="s">
        <v>51</v>
      </c>
      <c r="B41" s="18" t="s">
        <v>52</v>
      </c>
      <c r="C41" s="19"/>
      <c r="D41" s="20" t="e">
        <f>C41/C$48*100</f>
        <v>#DIV/0!</v>
      </c>
      <c r="E41" s="21"/>
      <c r="F41" s="18"/>
      <c r="G41" s="19"/>
      <c r="H41" s="21"/>
    </row>
    <row r="42" spans="1:8" x14ac:dyDescent="0.25">
      <c r="A42" s="23" t="s">
        <v>26</v>
      </c>
      <c r="B42" s="23" t="s">
        <v>53</v>
      </c>
      <c r="C42" s="24"/>
      <c r="D42" s="51" t="e">
        <f>C42/C$48*100</f>
        <v>#DIV/0!</v>
      </c>
      <c r="E42" s="26"/>
      <c r="F42" s="23"/>
      <c r="G42" s="24"/>
      <c r="H42" s="26"/>
    </row>
    <row r="43" spans="1:8" x14ac:dyDescent="0.25">
      <c r="A43" s="23" t="s">
        <v>54</v>
      </c>
      <c r="B43" s="23" t="s">
        <v>55</v>
      </c>
      <c r="C43" s="24"/>
      <c r="D43" s="51" t="e">
        <f>C43/C$48*100</f>
        <v>#DIV/0!</v>
      </c>
      <c r="E43" s="26"/>
      <c r="F43" s="23"/>
      <c r="G43" s="24"/>
      <c r="H43" s="26"/>
    </row>
    <row r="44" spans="1:8" x14ac:dyDescent="0.25">
      <c r="A44" s="23"/>
      <c r="B44" s="23"/>
      <c r="C44" s="24"/>
      <c r="D44" s="20"/>
      <c r="E44" s="26"/>
      <c r="F44" s="23"/>
      <c r="G44" s="24"/>
      <c r="H44" s="26"/>
    </row>
    <row r="45" spans="1:8" x14ac:dyDescent="0.25">
      <c r="A45" s="18" t="s">
        <v>56</v>
      </c>
      <c r="B45" s="18" t="s">
        <v>57</v>
      </c>
      <c r="C45" s="19">
        <f>+C46+C47</f>
        <v>0</v>
      </c>
      <c r="D45" s="20" t="e">
        <f>C45/C48*100</f>
        <v>#DIV/0!</v>
      </c>
      <c r="E45" s="26"/>
      <c r="F45" s="23"/>
      <c r="G45" s="24"/>
      <c r="H45" s="26"/>
    </row>
    <row r="46" spans="1:8" x14ac:dyDescent="0.25">
      <c r="A46" s="23"/>
      <c r="B46" s="52" t="s">
        <v>12</v>
      </c>
      <c r="C46" s="24"/>
      <c r="D46" s="51" t="e">
        <f>C46/C48*100</f>
        <v>#DIV/0!</v>
      </c>
      <c r="E46" s="26"/>
      <c r="F46" s="57"/>
      <c r="G46" s="24"/>
      <c r="H46" s="26"/>
    </row>
    <row r="47" spans="1:8" ht="15.75" thickBot="1" x14ac:dyDescent="0.3">
      <c r="A47" s="30"/>
      <c r="B47" s="33" t="s">
        <v>13</v>
      </c>
      <c r="C47" s="31"/>
      <c r="D47" s="59" t="e">
        <f>C47/C48*100</f>
        <v>#DIV/0!</v>
      </c>
      <c r="E47" s="33"/>
      <c r="F47" s="30"/>
      <c r="G47" s="31"/>
      <c r="H47" s="33"/>
    </row>
    <row r="48" spans="1:8" ht="17.25" thickBot="1" x14ac:dyDescent="0.3">
      <c r="A48" s="35"/>
      <c r="B48" s="36" t="s">
        <v>11</v>
      </c>
      <c r="C48" s="37">
        <f>+C30+C34+C41+C45</f>
        <v>0</v>
      </c>
      <c r="D48" s="38" t="e">
        <f>C48/C48*100</f>
        <v>#DIV/0!</v>
      </c>
      <c r="E48" s="36"/>
      <c r="F48" s="36" t="s">
        <v>14</v>
      </c>
      <c r="G48" s="37">
        <f>SUM(G30:G47)</f>
        <v>0</v>
      </c>
      <c r="H48" s="38" t="e">
        <f>G48/G48*100</f>
        <v>#DIV/0!</v>
      </c>
    </row>
    <row r="49" spans="1:8" x14ac:dyDescent="0.25">
      <c r="A49" s="43" t="s">
        <v>31</v>
      </c>
      <c r="B49" s="3"/>
      <c r="C49" s="3"/>
      <c r="D49" s="3"/>
      <c r="E49" s="4"/>
      <c r="F49" s="3"/>
      <c r="G49" s="3"/>
      <c r="H49" s="60"/>
    </row>
    <row r="51" spans="1:8" x14ac:dyDescent="0.25">
      <c r="C51" s="61"/>
      <c r="D51" s="62"/>
      <c r="G51" s="61"/>
    </row>
    <row r="54" spans="1:8" x14ac:dyDescent="0.25">
      <c r="C54" s="61"/>
    </row>
  </sheetData>
  <mergeCells count="10">
    <mergeCell ref="A24:H24"/>
    <mergeCell ref="A25:H25"/>
    <mergeCell ref="A26:H26"/>
    <mergeCell ref="E28:H28"/>
    <mergeCell ref="A23:H23"/>
    <mergeCell ref="A1:H1"/>
    <mergeCell ref="A2:H2"/>
    <mergeCell ref="A4:H4"/>
    <mergeCell ref="A3:H3"/>
    <mergeCell ref="E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Ctas_T_ET</vt:lpstr>
    </vt:vector>
  </TitlesOfParts>
  <Company>INEI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Nelly Reyes Ibarra</dc:creator>
  <cp:lastModifiedBy>Francisco Mendoza Martel</cp:lastModifiedBy>
  <dcterms:created xsi:type="dcterms:W3CDTF">2011-11-24T16:12:40Z</dcterms:created>
  <dcterms:modified xsi:type="dcterms:W3CDTF">2026-01-06T20:37:44Z</dcterms:modified>
</cp:coreProperties>
</file>